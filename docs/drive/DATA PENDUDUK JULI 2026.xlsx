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KASPEM\DATA PENDUDUK 2026\"/>
    </mc:Choice>
  </mc:AlternateContent>
  <xr:revisionPtr revIDLastSave="0" documentId="13_ncr:1_{5C41A4F5-FC76-4D6E-BCF7-8D3DA496F82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Sheet1!$A$1:$AF$30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1" l="1"/>
  <c r="F20" i="1"/>
  <c r="E20" i="1"/>
  <c r="I19" i="1"/>
  <c r="H19" i="1"/>
  <c r="I18" i="1"/>
  <c r="H18" i="1"/>
  <c r="I17" i="1"/>
  <c r="I16" i="1"/>
  <c r="H16" i="1" s="1"/>
  <c r="I15" i="1"/>
  <c r="H15" i="1" s="1"/>
  <c r="I14" i="1"/>
  <c r="H14" i="1" s="1"/>
  <c r="I13" i="1"/>
  <c r="H13" i="1" s="1"/>
  <c r="I12" i="1"/>
  <c r="I20" i="1" s="1"/>
  <c r="H12" i="1" l="1"/>
  <c r="H20" i="1" s="1"/>
  <c r="AF17" i="1"/>
  <c r="AC20" i="1" l="1"/>
  <c r="AF12" i="1"/>
  <c r="AB20" i="1" l="1"/>
  <c r="AD20" i="1" l="1"/>
  <c r="AF13" i="1"/>
  <c r="AF14" i="1"/>
  <c r="AF15" i="1"/>
  <c r="AE15" i="1" s="1"/>
  <c r="AF16" i="1"/>
  <c r="AF18" i="1"/>
  <c r="AF19" i="1"/>
  <c r="AF20" i="1" l="1"/>
  <c r="AE19" i="1"/>
  <c r="AE18" i="1"/>
  <c r="AE16" i="1"/>
  <c r="AE14" i="1"/>
  <c r="AE13" i="1"/>
  <c r="AE12" i="1"/>
  <c r="AE20" i="1" l="1"/>
</calcChain>
</file>

<file path=xl/sharedStrings.xml><?xml version="1.0" encoding="utf-8"?>
<sst xmlns="http://schemas.openxmlformats.org/spreadsheetml/2006/main" count="67" uniqueCount="36">
  <si>
    <t>NO URUT</t>
  </si>
  <si>
    <t>NAMA DUSUN</t>
  </si>
  <si>
    <t>JUMLAH PENDUDUK AWAL BULAN</t>
  </si>
  <si>
    <t xml:space="preserve">TAMBAHAN BULAN INI </t>
  </si>
  <si>
    <t xml:space="preserve">PENGURANGAN BULAN INI </t>
  </si>
  <si>
    <t>JML PENDUDUK AKHIR BULAN</t>
  </si>
  <si>
    <t>WNA</t>
  </si>
  <si>
    <t>WNI</t>
  </si>
  <si>
    <t>JUMLAH KK</t>
  </si>
  <si>
    <t xml:space="preserve">JML ANGGOTA KELUARGA </t>
  </si>
  <si>
    <t>JML JIWA</t>
  </si>
  <si>
    <t>LAHIR</t>
  </si>
  <si>
    <t>DATANG</t>
  </si>
  <si>
    <t>MENINGGAL</t>
  </si>
  <si>
    <t>PINDAH</t>
  </si>
  <si>
    <t>JML KK</t>
  </si>
  <si>
    <t>JML ANGGOTA KELUARGA</t>
  </si>
  <si>
    <t>JUMLAH JIWA</t>
  </si>
  <si>
    <t>L</t>
  </si>
  <si>
    <t>P</t>
  </si>
  <si>
    <t xml:space="preserve">L </t>
  </si>
  <si>
    <t>PADANG CERMIN</t>
  </si>
  <si>
    <t>TANJUNG MAS</t>
  </si>
  <si>
    <t>RAWA SUBUR</t>
  </si>
  <si>
    <t>RAWA TUNGGAL</t>
  </si>
  <si>
    <t>KEJADIAN</t>
  </si>
  <si>
    <t>KECAPI</t>
  </si>
  <si>
    <t>LUBUK BAKAK</t>
  </si>
  <si>
    <t xml:space="preserve">JUMLAH </t>
  </si>
  <si>
    <t xml:space="preserve"> KEPALA DESA</t>
  </si>
  <si>
    <t xml:space="preserve">  </t>
  </si>
  <si>
    <t>Dra.PURWANTI</t>
  </si>
  <si>
    <t xml:space="preserve">BAMBU KUNING </t>
  </si>
  <si>
    <t xml:space="preserve">      DESA PADANG CERMIN KECAMATAN PADANG CERMIN</t>
  </si>
  <si>
    <t>REKAPITULASI JUMLAH PENDUDUK BULAN APRIL TAHUN 2026</t>
  </si>
  <si>
    <t>Padang Cermin, 01 Juli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</si>
</sst>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  <scheme val="minor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sz val="16"/>
      <color theme="1"/>
      <name val="Arial"/>
      <family val="2"/>
    </font>
    <font>
      <b/>
      <u/>
      <sz val="16"/>
      <color theme="1"/>
      <name val="Arial"/>
      <family val="2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1" fillId="2" borderId="11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 vertical="center"/>
    </xf>
    <xf numFmtId="0" fontId="1" fillId="2" borderId="11" xfId="0" applyFont="1" applyFill="1" applyBorder="1"/>
    <xf numFmtId="0" fontId="1" fillId="0" borderId="11" xfId="0" applyFont="1" applyBorder="1"/>
    <xf numFmtId="0" fontId="3" fillId="0" borderId="11" xfId="0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7" fillId="2" borderId="0" xfId="0" applyFont="1" applyFill="1"/>
    <xf numFmtId="0" fontId="9" fillId="0" borderId="0" xfId="0" applyFont="1"/>
    <xf numFmtId="0" fontId="10" fillId="0" borderId="0" xfId="0" applyFont="1"/>
    <xf numFmtId="0" fontId="1" fillId="0" borderId="11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6" fillId="2" borderId="1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 vertical="center"/>
    </xf>
    <xf numFmtId="0" fontId="6" fillId="2" borderId="11" xfId="0" applyFont="1" applyFill="1" applyBorder="1"/>
    <xf numFmtId="0" fontId="6" fillId="2" borderId="0" xfId="0" applyFont="1" applyFill="1" applyAlignment="1">
      <alignment horizontal="center" vertical="center"/>
    </xf>
    <xf numFmtId="0" fontId="6" fillId="2" borderId="0" xfId="0" applyFont="1" applyFill="1"/>
    <xf numFmtId="0" fontId="5" fillId="0" borderId="11" xfId="0" applyFont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H32"/>
  <sheetViews>
    <sheetView tabSelected="1" topLeftCell="A15" zoomScale="70" zoomScaleNormal="70" workbookViewId="0">
      <selection activeCell="AD29" sqref="AD29"/>
    </sheetView>
  </sheetViews>
  <sheetFormatPr defaultColWidth="9.1796875" defaultRowHeight="14" x14ac:dyDescent="0.3"/>
  <cols>
    <col min="1" max="1" width="7.26953125" style="1" customWidth="1"/>
    <col min="2" max="2" width="22.7265625" style="1" customWidth="1"/>
    <col min="3" max="4" width="6.1796875" style="1" customWidth="1"/>
    <col min="5" max="6" width="7.453125" style="2" bestFit="1" customWidth="1"/>
    <col min="7" max="7" width="12.1796875" style="1" customWidth="1"/>
    <col min="8" max="8" width="13.453125" style="1" customWidth="1"/>
    <col min="9" max="9" width="9.1796875" style="1"/>
    <col min="10" max="11" width="4.81640625" style="1" customWidth="1"/>
    <col min="12" max="13" width="4.81640625" style="2" customWidth="1"/>
    <col min="14" max="27" width="4.81640625" style="1" customWidth="1"/>
    <col min="28" max="28" width="8.81640625" style="1" customWidth="1"/>
    <col min="29" max="30" width="9.1796875" style="1"/>
    <col min="31" max="31" width="14.26953125" style="1" customWidth="1"/>
    <col min="32" max="34" width="10.7265625" style="1" customWidth="1"/>
    <col min="35" max="16384" width="9.1796875" style="1"/>
  </cols>
  <sheetData>
    <row r="3" spans="1:34" ht="23" x14ac:dyDescent="0.3">
      <c r="A3" s="45" t="s">
        <v>34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</row>
    <row r="4" spans="1:34" ht="23" x14ac:dyDescent="0.3">
      <c r="A4" s="45" t="s">
        <v>33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</row>
    <row r="5" spans="1:34" ht="23" x14ac:dyDescent="0.5">
      <c r="H5" s="3"/>
      <c r="I5" s="3"/>
      <c r="J5" s="9"/>
      <c r="K5" s="9"/>
      <c r="L5" s="11"/>
      <c r="M5" s="11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0"/>
      <c r="AA5" s="10"/>
      <c r="AB5" s="10"/>
    </row>
    <row r="7" spans="1:34" ht="30" customHeight="1" x14ac:dyDescent="0.3">
      <c r="A7" s="36" t="s">
        <v>0</v>
      </c>
      <c r="B7" s="36" t="s">
        <v>1</v>
      </c>
      <c r="C7" s="42" t="s">
        <v>2</v>
      </c>
      <c r="D7" s="43"/>
      <c r="E7" s="43"/>
      <c r="F7" s="43"/>
      <c r="G7" s="43"/>
      <c r="H7" s="43"/>
      <c r="I7" s="44"/>
      <c r="J7" s="42" t="s">
        <v>3</v>
      </c>
      <c r="K7" s="43"/>
      <c r="L7" s="43"/>
      <c r="M7" s="43"/>
      <c r="N7" s="43"/>
      <c r="O7" s="43"/>
      <c r="P7" s="43"/>
      <c r="Q7" s="44"/>
      <c r="R7" s="42" t="s">
        <v>4</v>
      </c>
      <c r="S7" s="43"/>
      <c r="T7" s="43"/>
      <c r="U7" s="43"/>
      <c r="V7" s="43"/>
      <c r="W7" s="43"/>
      <c r="X7" s="43"/>
      <c r="Y7" s="44"/>
      <c r="Z7" s="29" t="s">
        <v>5</v>
      </c>
      <c r="AA7" s="30"/>
      <c r="AB7" s="30"/>
      <c r="AC7" s="30"/>
      <c r="AD7" s="30"/>
      <c r="AE7" s="30"/>
      <c r="AF7" s="31"/>
      <c r="AG7" s="17"/>
      <c r="AH7" s="17"/>
    </row>
    <row r="8" spans="1:34" ht="30" customHeight="1" x14ac:dyDescent="0.3">
      <c r="A8" s="37"/>
      <c r="B8" s="37"/>
      <c r="C8" s="32" t="s">
        <v>6</v>
      </c>
      <c r="D8" s="33"/>
      <c r="E8" s="32" t="s">
        <v>7</v>
      </c>
      <c r="F8" s="33"/>
      <c r="G8" s="36" t="s">
        <v>8</v>
      </c>
      <c r="H8" s="39" t="s">
        <v>9</v>
      </c>
      <c r="I8" s="36" t="s">
        <v>10</v>
      </c>
      <c r="J8" s="42" t="s">
        <v>11</v>
      </c>
      <c r="K8" s="43"/>
      <c r="L8" s="43"/>
      <c r="M8" s="44"/>
      <c r="N8" s="42" t="s">
        <v>12</v>
      </c>
      <c r="O8" s="43"/>
      <c r="P8" s="43"/>
      <c r="Q8" s="44"/>
      <c r="R8" s="42" t="s">
        <v>13</v>
      </c>
      <c r="S8" s="43"/>
      <c r="T8" s="43"/>
      <c r="U8" s="44"/>
      <c r="V8" s="42" t="s">
        <v>14</v>
      </c>
      <c r="W8" s="43"/>
      <c r="X8" s="43"/>
      <c r="Y8" s="44"/>
      <c r="Z8" s="32" t="s">
        <v>6</v>
      </c>
      <c r="AA8" s="33"/>
      <c r="AB8" s="32" t="s">
        <v>7</v>
      </c>
      <c r="AC8" s="33"/>
      <c r="AD8" s="36" t="s">
        <v>15</v>
      </c>
      <c r="AE8" s="39" t="s">
        <v>16</v>
      </c>
      <c r="AF8" s="36" t="s">
        <v>17</v>
      </c>
      <c r="AG8" s="18"/>
      <c r="AH8" s="18"/>
    </row>
    <row r="9" spans="1:34" ht="30" customHeight="1" x14ac:dyDescent="0.3">
      <c r="A9" s="37"/>
      <c r="B9" s="37"/>
      <c r="C9" s="34"/>
      <c r="D9" s="35"/>
      <c r="E9" s="34"/>
      <c r="F9" s="35"/>
      <c r="G9" s="37"/>
      <c r="H9" s="40"/>
      <c r="I9" s="37"/>
      <c r="J9" s="42" t="s">
        <v>6</v>
      </c>
      <c r="K9" s="44"/>
      <c r="L9" s="42" t="s">
        <v>7</v>
      </c>
      <c r="M9" s="44"/>
      <c r="N9" s="42" t="s">
        <v>6</v>
      </c>
      <c r="O9" s="44"/>
      <c r="P9" s="42" t="s">
        <v>7</v>
      </c>
      <c r="Q9" s="44"/>
      <c r="R9" s="42" t="s">
        <v>6</v>
      </c>
      <c r="S9" s="44"/>
      <c r="T9" s="42" t="s">
        <v>7</v>
      </c>
      <c r="U9" s="44"/>
      <c r="V9" s="29" t="s">
        <v>6</v>
      </c>
      <c r="W9" s="31"/>
      <c r="X9" s="42" t="s">
        <v>7</v>
      </c>
      <c r="Y9" s="44"/>
      <c r="Z9" s="34"/>
      <c r="AA9" s="35"/>
      <c r="AB9" s="34"/>
      <c r="AC9" s="35"/>
      <c r="AD9" s="37"/>
      <c r="AE9" s="40"/>
      <c r="AF9" s="37"/>
      <c r="AG9" s="18"/>
      <c r="AH9" s="18"/>
    </row>
    <row r="10" spans="1:34" ht="30" customHeight="1" x14ac:dyDescent="0.3">
      <c r="A10" s="38"/>
      <c r="B10" s="38"/>
      <c r="C10" s="8" t="s">
        <v>18</v>
      </c>
      <c r="D10" s="8" t="s">
        <v>19</v>
      </c>
      <c r="E10" s="15" t="s">
        <v>18</v>
      </c>
      <c r="F10" s="15" t="s">
        <v>19</v>
      </c>
      <c r="G10" s="38"/>
      <c r="H10" s="41"/>
      <c r="I10" s="38"/>
      <c r="J10" s="8" t="s">
        <v>20</v>
      </c>
      <c r="K10" s="8" t="s">
        <v>19</v>
      </c>
      <c r="L10" s="15" t="s">
        <v>18</v>
      </c>
      <c r="M10" s="15" t="s">
        <v>19</v>
      </c>
      <c r="N10" s="8" t="s">
        <v>18</v>
      </c>
      <c r="O10" s="8" t="s">
        <v>19</v>
      </c>
      <c r="P10" s="8" t="s">
        <v>18</v>
      </c>
      <c r="Q10" s="8" t="s">
        <v>19</v>
      </c>
      <c r="R10" s="8" t="s">
        <v>18</v>
      </c>
      <c r="S10" s="8" t="s">
        <v>19</v>
      </c>
      <c r="T10" s="8" t="s">
        <v>18</v>
      </c>
      <c r="U10" s="8" t="s">
        <v>19</v>
      </c>
      <c r="V10" s="8" t="s">
        <v>18</v>
      </c>
      <c r="W10" s="8" t="s">
        <v>19</v>
      </c>
      <c r="X10" s="8" t="s">
        <v>18</v>
      </c>
      <c r="Y10" s="8" t="s">
        <v>19</v>
      </c>
      <c r="Z10" s="8" t="s">
        <v>18</v>
      </c>
      <c r="AA10" s="8" t="s">
        <v>19</v>
      </c>
      <c r="AB10" s="8" t="s">
        <v>18</v>
      </c>
      <c r="AC10" s="8" t="s">
        <v>19</v>
      </c>
      <c r="AD10" s="38"/>
      <c r="AE10" s="41"/>
      <c r="AF10" s="38"/>
      <c r="AG10" s="18"/>
      <c r="AH10" s="18"/>
    </row>
    <row r="11" spans="1:34" s="28" customFormat="1" ht="19.5" customHeight="1" x14ac:dyDescent="0.35">
      <c r="A11" s="25">
        <v>1</v>
      </c>
      <c r="B11" s="25">
        <v>2</v>
      </c>
      <c r="C11" s="25">
        <v>3</v>
      </c>
      <c r="D11" s="25">
        <v>4</v>
      </c>
      <c r="E11" s="26">
        <v>5</v>
      </c>
      <c r="F11" s="26">
        <v>6</v>
      </c>
      <c r="G11" s="25">
        <v>7</v>
      </c>
      <c r="H11" s="25">
        <v>8</v>
      </c>
      <c r="I11" s="25">
        <v>9</v>
      </c>
      <c r="J11" s="25">
        <v>10</v>
      </c>
      <c r="K11" s="25">
        <v>11</v>
      </c>
      <c r="L11" s="26">
        <v>12</v>
      </c>
      <c r="M11" s="26">
        <v>13</v>
      </c>
      <c r="N11" s="25">
        <v>14</v>
      </c>
      <c r="O11" s="25">
        <v>15</v>
      </c>
      <c r="P11" s="25">
        <v>16</v>
      </c>
      <c r="Q11" s="25">
        <v>17</v>
      </c>
      <c r="R11" s="25">
        <v>18</v>
      </c>
      <c r="S11" s="25">
        <v>19</v>
      </c>
      <c r="T11" s="25">
        <v>20</v>
      </c>
      <c r="U11" s="25">
        <v>21</v>
      </c>
      <c r="V11" s="25">
        <v>22</v>
      </c>
      <c r="W11" s="25">
        <v>23</v>
      </c>
      <c r="X11" s="25">
        <v>24</v>
      </c>
      <c r="Y11" s="25">
        <v>25</v>
      </c>
      <c r="Z11" s="25">
        <v>26</v>
      </c>
      <c r="AA11" s="25">
        <v>27</v>
      </c>
      <c r="AB11" s="25">
        <v>28</v>
      </c>
      <c r="AC11" s="25">
        <v>29</v>
      </c>
      <c r="AD11" s="25">
        <v>30</v>
      </c>
      <c r="AE11" s="25">
        <v>31</v>
      </c>
      <c r="AF11" s="25">
        <v>32</v>
      </c>
      <c r="AG11" s="27"/>
      <c r="AH11" s="27"/>
    </row>
    <row r="12" spans="1:34" s="2" customFormat="1" ht="40.5" customHeight="1" x14ac:dyDescent="0.3">
      <c r="A12" s="4">
        <v>1</v>
      </c>
      <c r="B12" s="5" t="s">
        <v>21</v>
      </c>
      <c r="C12" s="6"/>
      <c r="D12" s="6"/>
      <c r="E12" s="5">
        <v>278</v>
      </c>
      <c r="F12" s="5">
        <v>265</v>
      </c>
      <c r="G12" s="5">
        <v>169</v>
      </c>
      <c r="H12" s="5">
        <f t="shared" ref="H12:H14" si="0">MIN(I12-G12)</f>
        <v>374</v>
      </c>
      <c r="I12" s="5">
        <f>SUM(E12:F12)</f>
        <v>543</v>
      </c>
      <c r="J12" s="6"/>
      <c r="K12" s="6"/>
      <c r="L12" s="5"/>
      <c r="M12" s="5"/>
      <c r="N12" s="5"/>
      <c r="O12" s="19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276</v>
      </c>
      <c r="AC12" s="5">
        <v>266</v>
      </c>
      <c r="AD12" s="5">
        <v>170</v>
      </c>
      <c r="AE12" s="5">
        <f t="shared" ref="AE12:AE19" si="1">MIN(AF12-AD12)</f>
        <v>372</v>
      </c>
      <c r="AF12" s="5">
        <f>SUM(AB12:AC12)</f>
        <v>542</v>
      </c>
      <c r="AG12" s="19"/>
      <c r="AH12" s="19"/>
    </row>
    <row r="13" spans="1:34" s="2" customFormat="1" ht="40.5" customHeight="1" x14ac:dyDescent="0.3">
      <c r="A13" s="4">
        <v>2</v>
      </c>
      <c r="B13" s="5" t="s">
        <v>22</v>
      </c>
      <c r="C13" s="6"/>
      <c r="D13" s="6"/>
      <c r="E13" s="5">
        <v>267</v>
      </c>
      <c r="F13" s="5">
        <v>241</v>
      </c>
      <c r="G13" s="5">
        <v>151</v>
      </c>
      <c r="H13" s="5">
        <f t="shared" si="0"/>
        <v>357</v>
      </c>
      <c r="I13" s="5">
        <f t="shared" ref="I13:I16" si="2">SUM(E13:F13)</f>
        <v>508</v>
      </c>
      <c r="J13" s="6"/>
      <c r="K13" s="6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268</v>
      </c>
      <c r="AC13" s="5">
        <v>243</v>
      </c>
      <c r="AD13" s="5">
        <v>152</v>
      </c>
      <c r="AE13" s="5">
        <f t="shared" si="1"/>
        <v>359</v>
      </c>
      <c r="AF13" s="5">
        <f t="shared" ref="AF13:AF19" si="3">SUM(AB13:AC13)</f>
        <v>511</v>
      </c>
      <c r="AG13" s="19"/>
      <c r="AH13" s="19"/>
    </row>
    <row r="14" spans="1:34" s="2" customFormat="1" ht="40.5" customHeight="1" x14ac:dyDescent="0.3">
      <c r="A14" s="4">
        <v>3</v>
      </c>
      <c r="B14" s="5" t="s">
        <v>23</v>
      </c>
      <c r="C14" s="6"/>
      <c r="D14" s="6"/>
      <c r="E14" s="5">
        <v>347</v>
      </c>
      <c r="F14" s="5">
        <v>353</v>
      </c>
      <c r="G14" s="5">
        <v>217</v>
      </c>
      <c r="H14" s="5">
        <f t="shared" si="0"/>
        <v>483</v>
      </c>
      <c r="I14" s="5">
        <f t="shared" si="2"/>
        <v>700</v>
      </c>
      <c r="J14" s="6"/>
      <c r="K14" s="6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347</v>
      </c>
      <c r="AC14" s="5">
        <v>350</v>
      </c>
      <c r="AD14" s="5">
        <v>217</v>
      </c>
      <c r="AE14" s="5">
        <f t="shared" si="1"/>
        <v>480</v>
      </c>
      <c r="AF14" s="5">
        <f t="shared" si="3"/>
        <v>697</v>
      </c>
      <c r="AG14" s="19"/>
      <c r="AH14" s="19"/>
    </row>
    <row r="15" spans="1:34" s="2" customFormat="1" ht="40.5" customHeight="1" x14ac:dyDescent="0.3">
      <c r="A15" s="4">
        <v>4</v>
      </c>
      <c r="B15" s="5" t="s">
        <v>24</v>
      </c>
      <c r="C15" s="6"/>
      <c r="D15" s="6"/>
      <c r="E15" s="5">
        <v>495</v>
      </c>
      <c r="F15" s="5">
        <v>518</v>
      </c>
      <c r="G15" s="5">
        <v>311</v>
      </c>
      <c r="H15" s="5">
        <f>MIN(I15-G15)</f>
        <v>702</v>
      </c>
      <c r="I15" s="5">
        <f t="shared" si="2"/>
        <v>1013</v>
      </c>
      <c r="J15" s="6"/>
      <c r="K15" s="6"/>
      <c r="L15" s="5"/>
      <c r="M15" s="5"/>
      <c r="O15" s="6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495</v>
      </c>
      <c r="AC15" s="5">
        <v>518</v>
      </c>
      <c r="AD15" s="5">
        <v>311</v>
      </c>
      <c r="AE15" s="5">
        <f>MIN(AF15-AD15)</f>
        <v>702</v>
      </c>
      <c r="AF15" s="5">
        <f t="shared" si="3"/>
        <v>1013</v>
      </c>
      <c r="AG15" s="19"/>
      <c r="AH15" s="19"/>
    </row>
    <row r="16" spans="1:34" s="24" customFormat="1" ht="40.5" customHeight="1" x14ac:dyDescent="0.35">
      <c r="A16" s="20">
        <v>5</v>
      </c>
      <c r="B16" s="21" t="s">
        <v>25</v>
      </c>
      <c r="C16" s="22"/>
      <c r="D16" s="22"/>
      <c r="E16" s="21">
        <v>311</v>
      </c>
      <c r="F16" s="21">
        <v>278</v>
      </c>
      <c r="G16" s="21">
        <v>169</v>
      </c>
      <c r="H16" s="21">
        <f t="shared" ref="H16" si="4">MIN(I16-G16)</f>
        <v>420</v>
      </c>
      <c r="I16" s="21">
        <f t="shared" si="2"/>
        <v>589</v>
      </c>
      <c r="J16" s="22"/>
      <c r="K16" s="22"/>
      <c r="L16" s="21"/>
      <c r="M16" s="21"/>
      <c r="N16" s="21"/>
      <c r="O16" s="21"/>
      <c r="P16" s="21"/>
      <c r="Q16" s="21"/>
      <c r="R16" s="21">
        <v>1</v>
      </c>
      <c r="S16" s="21"/>
      <c r="T16" s="21"/>
      <c r="U16" s="21"/>
      <c r="V16" s="21"/>
      <c r="W16" s="21"/>
      <c r="X16" s="21"/>
      <c r="Y16" s="21"/>
      <c r="Z16" s="21"/>
      <c r="AA16" s="21"/>
      <c r="AB16" s="21">
        <v>310</v>
      </c>
      <c r="AC16" s="21">
        <v>278</v>
      </c>
      <c r="AD16" s="21">
        <v>169</v>
      </c>
      <c r="AE16" s="21">
        <f t="shared" si="1"/>
        <v>419</v>
      </c>
      <c r="AF16" s="21">
        <f t="shared" si="3"/>
        <v>588</v>
      </c>
      <c r="AG16" s="23"/>
      <c r="AH16" s="23"/>
    </row>
    <row r="17" spans="1:34" s="2" customFormat="1" ht="40.5" customHeight="1" x14ac:dyDescent="0.3">
      <c r="A17" s="4">
        <v>6</v>
      </c>
      <c r="B17" s="5" t="s">
        <v>26</v>
      </c>
      <c r="C17" s="6"/>
      <c r="D17" s="6"/>
      <c r="E17" s="5">
        <v>479</v>
      </c>
      <c r="F17" s="5">
        <v>462</v>
      </c>
      <c r="G17" s="5">
        <v>284</v>
      </c>
      <c r="H17" s="5">
        <v>657</v>
      </c>
      <c r="I17" s="5">
        <f>SUM(E17:F17)</f>
        <v>941</v>
      </c>
      <c r="J17" s="6"/>
      <c r="K17" s="6"/>
      <c r="L17" s="5"/>
      <c r="M17" s="5"/>
      <c r="N17" s="5"/>
      <c r="O17" s="5"/>
      <c r="P17" s="5"/>
      <c r="Q17" s="5"/>
      <c r="R17" s="5">
        <v>1</v>
      </c>
      <c r="S17" s="5"/>
      <c r="T17" s="5"/>
      <c r="U17" s="5"/>
      <c r="V17" s="5"/>
      <c r="W17" s="5"/>
      <c r="X17" s="5"/>
      <c r="Y17" s="5"/>
      <c r="Z17" s="5"/>
      <c r="AA17" s="5"/>
      <c r="AB17" s="5">
        <v>479</v>
      </c>
      <c r="AC17" s="5">
        <v>463</v>
      </c>
      <c r="AD17" s="5">
        <v>284</v>
      </c>
      <c r="AE17" s="5">
        <v>657</v>
      </c>
      <c r="AF17" s="5">
        <f>SUM(AB17:AC17)</f>
        <v>942</v>
      </c>
      <c r="AG17" s="19"/>
      <c r="AH17" s="19"/>
    </row>
    <row r="18" spans="1:34" s="2" customFormat="1" ht="40.5" customHeight="1" x14ac:dyDescent="0.3">
      <c r="A18" s="4">
        <v>7</v>
      </c>
      <c r="B18" s="5" t="s">
        <v>32</v>
      </c>
      <c r="C18" s="6"/>
      <c r="D18" s="6"/>
      <c r="E18" s="5">
        <v>331</v>
      </c>
      <c r="F18" s="5">
        <v>441</v>
      </c>
      <c r="G18" s="5">
        <v>182</v>
      </c>
      <c r="H18" s="5">
        <f t="shared" ref="H18:H19" si="5">MIN(I18-G18)</f>
        <v>590</v>
      </c>
      <c r="I18" s="5">
        <f t="shared" ref="I18:I19" si="6">SUM(E18:F18)</f>
        <v>772</v>
      </c>
      <c r="J18" s="6"/>
      <c r="K18" s="6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331</v>
      </c>
      <c r="AC18" s="5">
        <v>439</v>
      </c>
      <c r="AD18" s="5">
        <v>182</v>
      </c>
      <c r="AE18" s="5">
        <f t="shared" si="1"/>
        <v>588</v>
      </c>
      <c r="AF18" s="5">
        <f t="shared" si="3"/>
        <v>770</v>
      </c>
      <c r="AG18" s="19"/>
      <c r="AH18" s="19"/>
    </row>
    <row r="19" spans="1:34" s="2" customFormat="1" ht="40.5" customHeight="1" x14ac:dyDescent="0.3">
      <c r="A19" s="4">
        <v>8</v>
      </c>
      <c r="B19" s="5" t="s">
        <v>27</v>
      </c>
      <c r="C19" s="6"/>
      <c r="D19" s="6"/>
      <c r="E19" s="5">
        <v>918</v>
      </c>
      <c r="F19" s="5">
        <v>906</v>
      </c>
      <c r="G19" s="5">
        <v>441</v>
      </c>
      <c r="H19" s="5">
        <f t="shared" si="5"/>
        <v>1383</v>
      </c>
      <c r="I19" s="5">
        <f t="shared" si="6"/>
        <v>1824</v>
      </c>
      <c r="J19" s="6"/>
      <c r="K19" s="6"/>
      <c r="L19" s="5"/>
      <c r="M19" s="5"/>
      <c r="N19" s="5"/>
      <c r="O19" s="5"/>
      <c r="P19" s="5"/>
      <c r="Q19" s="5"/>
      <c r="R19" s="5"/>
      <c r="S19" s="5">
        <v>3</v>
      </c>
      <c r="T19" s="5"/>
      <c r="U19" s="5"/>
      <c r="V19" s="5"/>
      <c r="W19" s="5"/>
      <c r="X19" s="5"/>
      <c r="Y19" s="5"/>
      <c r="Z19" s="5"/>
      <c r="AA19" s="5"/>
      <c r="AB19" s="5">
        <v>919</v>
      </c>
      <c r="AC19" s="5">
        <v>904</v>
      </c>
      <c r="AD19" s="5">
        <v>441</v>
      </c>
      <c r="AE19" s="5">
        <f t="shared" si="1"/>
        <v>1382</v>
      </c>
      <c r="AF19" s="5">
        <f t="shared" si="3"/>
        <v>1823</v>
      </c>
      <c r="AG19" s="19"/>
      <c r="AH19" s="19"/>
    </row>
    <row r="20" spans="1:34" ht="40.5" customHeight="1" x14ac:dyDescent="0.3">
      <c r="A20" s="46" t="s">
        <v>28</v>
      </c>
      <c r="B20" s="46"/>
      <c r="C20" s="7"/>
      <c r="D20" s="7"/>
      <c r="E20" s="8">
        <f>SUM(E12:E19)</f>
        <v>3426</v>
      </c>
      <c r="F20" s="8">
        <f>SUM(F12:F19)</f>
        <v>3464</v>
      </c>
      <c r="G20" s="8">
        <f>SUM(G12:G19)</f>
        <v>1924</v>
      </c>
      <c r="H20" s="8">
        <f>SUM(H12:H19)</f>
        <v>4966</v>
      </c>
      <c r="I20" s="8">
        <f>SUM(I12:I19)</f>
        <v>6890</v>
      </c>
      <c r="J20" s="14"/>
      <c r="K20" s="14"/>
      <c r="L20" s="15"/>
      <c r="M20" s="15"/>
      <c r="N20" s="8"/>
      <c r="O20" s="8"/>
      <c r="P20" s="15"/>
      <c r="Q20" s="15"/>
      <c r="R20" s="8"/>
      <c r="S20" s="8"/>
      <c r="T20" s="16"/>
      <c r="U20" s="16"/>
      <c r="V20" s="8"/>
      <c r="W20" s="8"/>
      <c r="X20" s="15"/>
      <c r="Y20" s="15"/>
      <c r="Z20" s="8"/>
      <c r="AA20" s="8"/>
      <c r="AB20" s="8">
        <f>SUM(AB12:AB19)</f>
        <v>3425</v>
      </c>
      <c r="AC20" s="8">
        <f>SUM(AC12:AC19)</f>
        <v>3461</v>
      </c>
      <c r="AD20" s="8">
        <f>SUM(AD12:AD19)</f>
        <v>1926</v>
      </c>
      <c r="AE20" s="8">
        <f>SUM(AE12:AE19)</f>
        <v>4959</v>
      </c>
      <c r="AF20" s="8">
        <f>SUM(AF12:AF19)</f>
        <v>6886</v>
      </c>
      <c r="AG20" s="17"/>
      <c r="AH20" s="17"/>
    </row>
    <row r="23" spans="1:34" ht="20" x14ac:dyDescent="0.4">
      <c r="AB23" s="12" t="s">
        <v>35</v>
      </c>
      <c r="AC23" s="12"/>
      <c r="AD23" s="12"/>
    </row>
    <row r="24" spans="1:34" ht="20" x14ac:dyDescent="0.4">
      <c r="AB24" s="12" t="s">
        <v>29</v>
      </c>
      <c r="AC24" s="12"/>
      <c r="AD24" s="12"/>
    </row>
    <row r="25" spans="1:34" ht="20" x14ac:dyDescent="0.4">
      <c r="O25" s="1" t="s">
        <v>30</v>
      </c>
      <c r="AB25" s="12"/>
      <c r="AC25" s="12"/>
      <c r="AD25" s="12"/>
    </row>
    <row r="26" spans="1:34" ht="20" x14ac:dyDescent="0.4">
      <c r="AB26" s="12"/>
      <c r="AC26" s="12"/>
      <c r="AD26" s="12"/>
    </row>
    <row r="27" spans="1:34" ht="20" x14ac:dyDescent="0.4">
      <c r="AB27" s="12"/>
      <c r="AC27" s="12"/>
      <c r="AD27" s="12"/>
    </row>
    <row r="28" spans="1:34" ht="20" x14ac:dyDescent="0.4">
      <c r="AB28" s="12"/>
      <c r="AC28" s="12"/>
      <c r="AD28" s="12"/>
    </row>
    <row r="29" spans="1:34" ht="20" x14ac:dyDescent="0.4">
      <c r="AB29" s="13" t="s">
        <v>31</v>
      </c>
      <c r="AC29" s="12"/>
      <c r="AD29" s="12"/>
    </row>
    <row r="30" spans="1:34" ht="20" x14ac:dyDescent="0.4">
      <c r="AB30" s="12"/>
      <c r="AC30" s="12"/>
      <c r="AD30" s="12"/>
    </row>
    <row r="31" spans="1:34" ht="20" x14ac:dyDescent="0.4">
      <c r="AB31" s="12"/>
      <c r="AC31" s="12"/>
      <c r="AD31" s="12"/>
    </row>
    <row r="32" spans="1:34" ht="20" x14ac:dyDescent="0.4">
      <c r="AB32" s="12"/>
      <c r="AC32" s="12"/>
      <c r="AD32" s="12"/>
    </row>
  </sheetData>
  <mergeCells count="31">
    <mergeCell ref="A3:AF3"/>
    <mergeCell ref="A4:AF4"/>
    <mergeCell ref="A20:B20"/>
    <mergeCell ref="AB8:AC9"/>
    <mergeCell ref="AD8:AD10"/>
    <mergeCell ref="AE8:AE10"/>
    <mergeCell ref="AF8:AF10"/>
    <mergeCell ref="J9:K9"/>
    <mergeCell ref="L9:M9"/>
    <mergeCell ref="N9:O9"/>
    <mergeCell ref="P9:Q9"/>
    <mergeCell ref="R9:S9"/>
    <mergeCell ref="T9:U9"/>
    <mergeCell ref="I8:I10"/>
    <mergeCell ref="J8:M8"/>
    <mergeCell ref="N8:Q8"/>
    <mergeCell ref="A7:A10"/>
    <mergeCell ref="B7:B10"/>
    <mergeCell ref="C7:I7"/>
    <mergeCell ref="J7:Q7"/>
    <mergeCell ref="R7:Y7"/>
    <mergeCell ref="R8:U8"/>
    <mergeCell ref="V8:Y8"/>
    <mergeCell ref="V9:W9"/>
    <mergeCell ref="X9:Y9"/>
    <mergeCell ref="Z7:AF7"/>
    <mergeCell ref="C8:D9"/>
    <mergeCell ref="E8:F9"/>
    <mergeCell ref="G8:G10"/>
    <mergeCell ref="H8:H10"/>
    <mergeCell ref="Z8:AA9"/>
  </mergeCells>
  <pageMargins left="0.7" right="0.7" top="0.75" bottom="0.75" header="0.3" footer="0.3"/>
  <pageSetup paperSize="9"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F1:N1"/>
  <sheetViews>
    <sheetView topLeftCell="A4" zoomScale="80" zoomScaleNormal="80" workbookViewId="0">
      <selection activeCell="A4" sqref="A1:XFD1048576"/>
    </sheetView>
  </sheetViews>
  <sheetFormatPr defaultColWidth="9.1796875" defaultRowHeight="14" x14ac:dyDescent="0.3"/>
  <cols>
    <col min="1" max="5" width="9.1796875" style="1"/>
    <col min="6" max="7" width="9.1796875" style="2"/>
    <col min="8" max="12" width="9.1796875" style="1"/>
    <col min="13" max="14" width="9.1796875" style="2"/>
    <col min="15" max="16384" width="9.1796875" style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22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ASUS</cp:lastModifiedBy>
  <cp:lastPrinted>2026-07-08T03:35:32Z</cp:lastPrinted>
  <dcterms:created xsi:type="dcterms:W3CDTF">2023-03-01T04:08:44Z</dcterms:created>
  <dcterms:modified xsi:type="dcterms:W3CDTF">2026-08-07T08:09:48Z</dcterms:modified>
</cp:coreProperties>
</file>